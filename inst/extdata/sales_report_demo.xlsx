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roducts" sheetId="1" state="visible" r:id="rId1"/>
    <sheet name="Q1 Sales" sheetId="2" state="visible" r:id="rId2"/>
    <sheet name="Q2 Sales" sheetId="3" state="visible" r:id="rId3"/>
    <sheet name="Annual Summary" sheetId="4" state="visible" r:id="rId4"/>
    <sheet name="Pivot Analysis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7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Product_Name</t>
        </is>
      </c>
      <c r="D1" t="inlineStr">
        <is>
          <t>Unit_Price</t>
        </is>
      </c>
      <c r="E1" t="inlineStr">
        <is>
          <t>Cost</t>
        </is>
      </c>
      <c r="F1" t="inlineStr">
        <is>
          <t>Margin_Pct</t>
        </is>
      </c>
      <c r="G1" t="inlineStr">
        <is>
          <t>Status</t>
        </is>
      </c>
    </row>
    <row r="2">
      <c r="A2" t="inlineStr">
        <is>
          <t>P001</t>
        </is>
      </c>
      <c r="B2" t="inlineStr">
        <is>
          <t>Electronics</t>
        </is>
      </c>
      <c r="C2" t="inlineStr">
        <is>
          <t>Laptop</t>
        </is>
      </c>
      <c r="D2" t="inlineStr">
        <is>
          <t>1200</t>
        </is>
      </c>
      <c r="E2" t="inlineStr">
        <is>
          <t>850</t>
        </is>
      </c>
      <c r="F2" t="str">
        <f>(D2-E2)/D2</f>
      </c>
      <c r="G2" t="inlineStr">
        <is>
          <t>Active</t>
        </is>
      </c>
    </row>
    <row r="3">
      <c r="A3" t="inlineStr">
        <is>
          <t>P002</t>
        </is>
      </c>
      <c r="B3" t="inlineStr">
        <is>
          <t>Electronics</t>
        </is>
      </c>
      <c r="C3" t="inlineStr">
        <is>
          <t>Phone</t>
        </is>
      </c>
      <c r="D3" t="inlineStr">
        <is>
          <t>800</t>
        </is>
      </c>
      <c r="E3" t="inlineStr">
        <is>
          <t>520</t>
        </is>
      </c>
      <c r="F3" t="str">
        <f>(D3-E3)/D3</f>
      </c>
      <c r="G3" t="inlineStr">
        <is>
          <t>Active</t>
        </is>
      </c>
    </row>
    <row r="4">
      <c r="A4" t="inlineStr">
        <is>
          <t>P003</t>
        </is>
      </c>
      <c r="B4" t="inlineStr">
        <is>
          <t>Furniture</t>
        </is>
      </c>
      <c r="C4" t="inlineStr">
        <is>
          <t>Desk</t>
        </is>
      </c>
      <c r="D4" t="inlineStr">
        <is>
          <t>350</t>
        </is>
      </c>
      <c r="E4" t="inlineStr">
        <is>
          <t>200</t>
        </is>
      </c>
      <c r="F4" t="str">
        <f>(D4-E4)/D4</f>
      </c>
      <c r="G4" t="inlineStr">
        <is>
          <t>Active</t>
        </is>
      </c>
    </row>
    <row r="5">
      <c r="A5" t="inlineStr">
        <is>
          <t>P004</t>
        </is>
      </c>
      <c r="B5" t="inlineStr">
        <is>
          <t>Furniture</t>
        </is>
      </c>
      <c r="C5" t="inlineStr">
        <is>
          <t>Chair</t>
        </is>
      </c>
      <c r="D5" t="inlineStr">
        <is>
          <t>275</t>
        </is>
      </c>
      <c r="E5" t="inlineStr">
        <is>
          <t>160</t>
        </is>
      </c>
      <c r="F5" t="str">
        <f>(D5-E5)/D5</f>
      </c>
      <c r="G5" t="inlineStr">
        <is>
          <t>Discontinued</t>
        </is>
      </c>
    </row>
    <row r="6">
      <c r="A6" t="inlineStr">
        <is>
          <t>P005</t>
        </is>
      </c>
      <c r="B6" t="inlineStr">
        <is>
          <t>Clothing</t>
        </is>
      </c>
      <c r="C6" t="inlineStr">
        <is>
          <t>Jacket</t>
        </is>
      </c>
      <c r="D6" t="inlineStr">
        <is>
          <t>150</t>
        </is>
      </c>
      <c r="E6" t="inlineStr">
        <is>
          <t>80</t>
        </is>
      </c>
      <c r="F6" t="str">
        <f>(D6-E6)/D6</f>
      </c>
      <c r="G6" t="inlineStr">
        <is>
          <t>Active</t>
        </is>
      </c>
    </row>
    <row r="7">
      <c r="A7" t="inlineStr">
        <is>
          <t>P006</t>
        </is>
      </c>
      <c r="B7" t="inlineStr">
        <is>
          <t>Clothing</t>
        </is>
      </c>
      <c r="C7" t="inlineStr">
        <is>
          <t>Shirt</t>
        </is>
      </c>
      <c r="D7" t="inlineStr">
        <is>
          <t>45</t>
        </is>
      </c>
      <c r="E7" t="inlineStr">
        <is>
          <t>22</t>
        </is>
      </c>
      <c r="F7" t="str">
        <f>(D7-E7)/D7</f>
      </c>
      <c r="G7" t="inlineStr">
        <is>
          <t>Active</t>
        </is>
      </c>
    </row>
    <row r="8">
      <c r="A8" t="inlineStr">
        <is>
          <t>P007</t>
        </is>
      </c>
      <c r="B8" t="inlineStr">
        <is>
          <t>Electronics</t>
        </is>
      </c>
      <c r="C8" t="inlineStr">
        <is>
          <t>Tablet</t>
        </is>
      </c>
      <c r="D8" t="inlineStr">
        <is>
          <t>500</t>
        </is>
      </c>
      <c r="E8" t="inlineStr">
        <is>
          <t>310</t>
        </is>
      </c>
      <c r="F8" t="str">
        <f>(D8-E8)/D8</f>
      </c>
      <c r="G8" t="inlineStr">
        <is>
          <t>Active</t>
        </is>
      </c>
    </row>
    <row r="9">
      <c r="A9" t="inlineStr">
        <is>
          <t>P008</t>
        </is>
      </c>
      <c r="B9" t="inlineStr">
        <is>
          <t>Furniture</t>
        </is>
      </c>
      <c r="C9" t="inlineStr">
        <is>
          <t>Bookshelf</t>
        </is>
      </c>
      <c r="D9" t="inlineStr">
        <is>
          <t>180</t>
        </is>
      </c>
      <c r="E9" t="inlineStr">
        <is>
          <t>100</t>
        </is>
      </c>
      <c r="F9" t="str">
        <f>(D9-E9)/D9</f>
      </c>
      <c r="G9" t="inlineStr">
        <is>
          <t>Active</t>
        </is>
      </c>
    </row>
    <row r="10">
      <c r="A10" t="inlineStr">
        <is>
          <t>P009</t>
        </is>
      </c>
      <c r="B10" t="inlineStr">
        <is>
          <t>Clothing</t>
        </is>
      </c>
      <c r="C10" t="inlineStr">
        <is>
          <t>Shoes</t>
        </is>
      </c>
      <c r="D10" t="inlineStr">
        <is>
          <t>95</t>
        </is>
      </c>
      <c r="E10" t="inlineStr">
        <is>
          <t>50</t>
        </is>
      </c>
      <c r="F10" t="str">
        <f>(D10-E10)/D10</f>
      </c>
      <c r="G10" t="inlineStr">
        <is>
          <t>Active</t>
        </is>
      </c>
    </row>
    <row r="11">
      <c r="A11" t="inlineStr">
        <is>
          <t>P010</t>
        </is>
      </c>
      <c r="B11" t="inlineStr">
        <is>
          <t>Electronics</t>
        </is>
      </c>
      <c r="C11" t="inlineStr">
        <is>
          <t>Monitor</t>
        </is>
      </c>
      <c r="D11" t="inlineStr">
        <is>
          <t>450</t>
        </is>
      </c>
      <c r="E11" t="inlineStr">
        <is>
          <t>280</t>
        </is>
      </c>
      <c r="F11" t="str">
        <f>(D11-E11)/D11</f>
      </c>
      <c r="G11" t="inlineStr">
        <is>
          <t>Active</t>
        </is>
      </c>
    </row>
    <row r="12">
      <c r="A12" t="inlineStr">
        <is>
          <t/>
        </is>
      </c>
    </row>
    <row r="13">
      <c r="A13" t="inlineStr">
        <is>
          <t>TOTALS</t>
        </is>
      </c>
      <c r="D13" t="str">
        <f>SUM(D2:D11)</f>
      </c>
      <c r="E13" t="str">
        <f>SUM(E2:E11)</f>
      </c>
      <c r="F13" t="str">
        <f>AVERAGE(F2:F11)</f>
      </c>
    </row>
    <row r="14">
      <c r="A14" t="inlineStr">
        <is>
          <t>AVG_PRICE</t>
        </is>
      </c>
      <c r="D14" t="str">
        <f>AVERAGE(D2:D11)</f>
      </c>
    </row>
    <row r="15">
      <c r="A15" t="inlineStr">
        <is>
          <t>MAX_PRICE</t>
        </is>
      </c>
      <c r="D15" t="str">
        <f>MAX(D2:D11)</f>
      </c>
    </row>
    <row r="16">
      <c r="A16" t="inlineStr">
        <is>
          <t>MIN_PRICE</t>
        </is>
      </c>
      <c r="D16" t="str">
        <f>MIN(D2:D11)</f>
      </c>
    </row>
    <row r="17">
      <c r="A17" t="inlineStr">
        <is>
          <t>ACTIVE_COUNT</t>
        </is>
      </c>
      <c r="D17" t="str">
        <f>COUNTIF(G2:G11,"Active")</f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9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Date</t>
        </is>
      </c>
      <c r="B1" t="inlineStr">
        <is>
          <t>Product_ID</t>
        </is>
      </c>
      <c r="C1" t="inlineStr">
        <is>
          <t>Region</t>
        </is>
      </c>
      <c r="D1" t="inlineStr">
        <is>
          <t>Qty</t>
        </is>
      </c>
      <c r="E1" t="inlineStr">
        <is>
          <t>Unit_Price</t>
        </is>
      </c>
      <c r="F1" t="inlineStr">
        <is>
          <t>Revenue</t>
        </is>
      </c>
      <c r="G1" t="inlineStr">
        <is>
          <t>Discount_Pct</t>
        </is>
      </c>
      <c r="H1" t="inlineStr">
        <is>
          <t>Net_Revenue</t>
        </is>
      </c>
    </row>
    <row r="2">
      <c r="A2" t="inlineStr">
        <is>
          <t>2024-01-05</t>
        </is>
      </c>
      <c r="B2" t="inlineStr">
        <is>
          <t>P001</t>
        </is>
      </c>
      <c r="C2" t="inlineStr">
        <is>
          <t>North</t>
        </is>
      </c>
      <c r="D2" t="inlineStr">
        <is>
          <t>3</t>
        </is>
      </c>
      <c r="E2" t="inlineStr">
        <is>
          <t>1200</t>
        </is>
      </c>
      <c r="F2" t="str">
        <f>D2*E2</f>
      </c>
      <c r="G2" t="inlineStr">
        <is>
          <t>0</t>
        </is>
      </c>
      <c r="H2" t="str">
        <f>F2*(1-G2)</f>
      </c>
    </row>
    <row r="3">
      <c r="A3" t="inlineStr">
        <is>
          <t>2024-01-12</t>
        </is>
      </c>
      <c r="B3" t="inlineStr">
        <is>
          <t>P002</t>
        </is>
      </c>
      <c r="C3" t="inlineStr">
        <is>
          <t>South</t>
        </is>
      </c>
      <c r="D3" t="inlineStr">
        <is>
          <t>5</t>
        </is>
      </c>
      <c r="E3" t="inlineStr">
        <is>
          <t>800</t>
        </is>
      </c>
      <c r="F3" t="str">
        <f>D3*E3</f>
      </c>
      <c r="G3" t="inlineStr">
        <is>
          <t>0.05</t>
        </is>
      </c>
      <c r="H3" t="str">
        <f>F3*(1-G3)</f>
      </c>
    </row>
    <row r="4">
      <c r="A4" t="inlineStr">
        <is>
          <t>2024-01-20</t>
        </is>
      </c>
      <c r="B4" t="inlineStr">
        <is>
          <t>P003</t>
        </is>
      </c>
      <c r="C4" t="inlineStr">
        <is>
          <t>North</t>
        </is>
      </c>
      <c r="D4" t="inlineStr">
        <is>
          <t>2</t>
        </is>
      </c>
      <c r="E4" t="inlineStr">
        <is>
          <t>350</t>
        </is>
      </c>
      <c r="F4" t="str">
        <f>D4*E4</f>
      </c>
      <c r="G4" t="inlineStr">
        <is>
          <t>0</t>
        </is>
      </c>
      <c r="H4" t="str">
        <f>F4*(1-G4)</f>
      </c>
    </row>
    <row r="5">
      <c r="A5" t="inlineStr">
        <is>
          <t>2024-02-03</t>
        </is>
      </c>
      <c r="B5" t="inlineStr">
        <is>
          <t>P001</t>
        </is>
      </c>
      <c r="C5" t="inlineStr">
        <is>
          <t>East</t>
        </is>
      </c>
      <c r="D5" t="inlineStr">
        <is>
          <t>1</t>
        </is>
      </c>
      <c r="E5" t="inlineStr">
        <is>
          <t>1200</t>
        </is>
      </c>
      <c r="F5" t="str">
        <f>D5*E5</f>
      </c>
      <c r="G5" t="inlineStr">
        <is>
          <t>0.1</t>
        </is>
      </c>
      <c r="H5" t="str">
        <f>F5*(1-G5)</f>
      </c>
    </row>
    <row r="6">
      <c r="A6" t="inlineStr">
        <is>
          <t>2024-02-14</t>
        </is>
      </c>
      <c r="B6" t="inlineStr">
        <is>
          <t>P005</t>
        </is>
      </c>
      <c r="C6" t="inlineStr">
        <is>
          <t>West</t>
        </is>
      </c>
      <c r="D6" t="inlineStr">
        <is>
          <t>10</t>
        </is>
      </c>
      <c r="E6" t="inlineStr">
        <is>
          <t>150</t>
        </is>
      </c>
      <c r="F6" t="str">
        <f>D6*E6</f>
      </c>
      <c r="G6" t="inlineStr">
        <is>
          <t>0</t>
        </is>
      </c>
      <c r="H6" t="str">
        <f>F6*(1-G6)</f>
      </c>
    </row>
    <row r="7">
      <c r="A7" t="inlineStr">
        <is>
          <t>2024-02-28</t>
        </is>
      </c>
      <c r="B7" t="inlineStr">
        <is>
          <t>P006</t>
        </is>
      </c>
      <c r="C7" t="inlineStr">
        <is>
          <t>North</t>
        </is>
      </c>
      <c r="D7" t="inlineStr">
        <is>
          <t>20</t>
        </is>
      </c>
      <c r="E7" t="inlineStr">
        <is>
          <t>45</t>
        </is>
      </c>
      <c r="F7" t="str">
        <f>D7*E7</f>
      </c>
      <c r="G7" t="inlineStr">
        <is>
          <t>0</t>
        </is>
      </c>
      <c r="H7" t="str">
        <f>F7*(1-G7)</f>
      </c>
    </row>
    <row r="8">
      <c r="A8" t="inlineStr">
        <is>
          <t>2024-03-05</t>
        </is>
      </c>
      <c r="B8" t="inlineStr">
        <is>
          <t>P001</t>
        </is>
      </c>
      <c r="C8" t="inlineStr">
        <is>
          <t>South</t>
        </is>
      </c>
      <c r="D8" t="inlineStr">
        <is>
          <t>4</t>
        </is>
      </c>
      <c r="E8" t="inlineStr">
        <is>
          <t>1200</t>
        </is>
      </c>
      <c r="F8" t="str">
        <f>D8*E8</f>
      </c>
      <c r="G8" t="inlineStr">
        <is>
          <t>0.05</t>
        </is>
      </c>
      <c r="H8" t="str">
        <f>F8*(1-G8)</f>
      </c>
    </row>
    <row r="9">
      <c r="A9" t="inlineStr">
        <is>
          <t>2024-03-15</t>
        </is>
      </c>
      <c r="B9" t="inlineStr">
        <is>
          <t>P007</t>
        </is>
      </c>
      <c r="C9" t="inlineStr">
        <is>
          <t>East</t>
        </is>
      </c>
      <c r="D9" t="inlineStr">
        <is>
          <t>3</t>
        </is>
      </c>
      <c r="E9" t="inlineStr">
        <is>
          <t>500</t>
        </is>
      </c>
      <c r="F9" t="str">
        <f>D9*E9</f>
      </c>
      <c r="G9" t="inlineStr">
        <is>
          <t>0.1</t>
        </is>
      </c>
      <c r="H9" t="str">
        <f>F9*(1-G9)</f>
      </c>
    </row>
    <row r="10">
      <c r="A10" t="inlineStr">
        <is>
          <t>2024-03-22</t>
        </is>
      </c>
      <c r="B10" t="inlineStr">
        <is>
          <t>P002</t>
        </is>
      </c>
      <c r="C10" t="inlineStr">
        <is>
          <t>North</t>
        </is>
      </c>
      <c r="D10" t="inlineStr">
        <is>
          <t>6</t>
        </is>
      </c>
      <c r="E10" t="inlineStr">
        <is>
          <t>800</t>
        </is>
      </c>
      <c r="F10" t="str">
        <f>D10*E10</f>
      </c>
      <c r="G10" t="inlineStr">
        <is>
          <t>0</t>
        </is>
      </c>
      <c r="H10" t="str">
        <f>F10*(1-G10)</f>
      </c>
    </row>
    <row r="11">
      <c r="A11" t="inlineStr">
        <is>
          <t>2024-01-08</t>
        </is>
      </c>
      <c r="B11" t="inlineStr">
        <is>
          <t>P004</t>
        </is>
      </c>
      <c r="C11" t="inlineStr">
        <is>
          <t>West</t>
        </is>
      </c>
      <c r="D11" t="inlineStr">
        <is>
          <t>1</t>
        </is>
      </c>
      <c r="E11" t="inlineStr">
        <is>
          <t>275</t>
        </is>
      </c>
      <c r="F11" t="str">
        <f>D11*E11</f>
      </c>
      <c r="G11" t="inlineStr">
        <is>
          <t>0.15</t>
        </is>
      </c>
      <c r="H11" t="str">
        <f>F11*(1-G11)</f>
      </c>
    </row>
    <row r="12">
      <c r="A12" t="inlineStr">
        <is>
          <t>2024-01-25</t>
        </is>
      </c>
      <c r="B12" t="inlineStr">
        <is>
          <t>P008</t>
        </is>
      </c>
      <c r="C12" t="inlineStr">
        <is>
          <t>North</t>
        </is>
      </c>
      <c r="D12" t="inlineStr">
        <is>
          <t>2</t>
        </is>
      </c>
      <c r="E12" t="inlineStr">
        <is>
          <t>180</t>
        </is>
      </c>
      <c r="F12" t="str">
        <f>D12*E12</f>
      </c>
      <c r="G12" t="inlineStr">
        <is>
          <t>0</t>
        </is>
      </c>
      <c r="H12" t="str">
        <f>F12*(1-G12)</f>
      </c>
    </row>
    <row r="13">
      <c r="A13" t="inlineStr">
        <is>
          <t>2024-02-10</t>
        </is>
      </c>
      <c r="B13" t="inlineStr">
        <is>
          <t>P009</t>
        </is>
      </c>
      <c r="C13" t="inlineStr">
        <is>
          <t>South</t>
        </is>
      </c>
      <c r="D13" t="inlineStr">
        <is>
          <t>8</t>
        </is>
      </c>
      <c r="E13" t="inlineStr">
        <is>
          <t>95</t>
        </is>
      </c>
      <c r="F13" t="str">
        <f>D13*E13</f>
      </c>
      <c r="G13" t="inlineStr">
        <is>
          <t>0</t>
        </is>
      </c>
      <c r="H13" t="str">
        <f>F13*(1-G13)</f>
      </c>
    </row>
    <row r="14">
      <c r="A14" t="inlineStr">
        <is>
          <t>2024-02-20</t>
        </is>
      </c>
      <c r="B14" t="inlineStr">
        <is>
          <t>P010</t>
        </is>
      </c>
      <c r="C14" t="inlineStr">
        <is>
          <t>East</t>
        </is>
      </c>
      <c r="D14" t="inlineStr">
        <is>
          <t>2</t>
        </is>
      </c>
      <c r="E14" t="inlineStr">
        <is>
          <t>450</t>
        </is>
      </c>
      <c r="F14" t="str">
        <f>D14*E14</f>
      </c>
      <c r="G14" t="inlineStr">
        <is>
          <t>0.05</t>
        </is>
      </c>
      <c r="H14" t="str">
        <f>F14*(1-G14)</f>
      </c>
    </row>
    <row r="15">
      <c r="A15" t="inlineStr">
        <is>
          <t>2024-03-01</t>
        </is>
      </c>
      <c r="B15" t="inlineStr">
        <is>
          <t>P003</t>
        </is>
      </c>
      <c r="C15" t="inlineStr">
        <is>
          <t>West</t>
        </is>
      </c>
      <c r="D15" t="inlineStr">
        <is>
          <t>3</t>
        </is>
      </c>
      <c r="E15" t="inlineStr">
        <is>
          <t>350</t>
        </is>
      </c>
      <c r="F15" t="str">
        <f>D15*E15</f>
      </c>
      <c r="G15" t="inlineStr">
        <is>
          <t>0</t>
        </is>
      </c>
      <c r="H15" t="str">
        <f>F15*(1-G15)</f>
      </c>
    </row>
    <row r="16">
      <c r="A16" t="inlineStr">
        <is>
          <t>2024-03-10</t>
        </is>
      </c>
      <c r="B16" t="inlineStr">
        <is>
          <t>P006</t>
        </is>
      </c>
      <c r="C16" t="inlineStr">
        <is>
          <t>North</t>
        </is>
      </c>
      <c r="D16" t="inlineStr">
        <is>
          <t>15</t>
        </is>
      </c>
      <c r="E16" t="inlineStr">
        <is>
          <t>45</t>
        </is>
      </c>
      <c r="F16" t="str">
        <f>D16*E16</f>
      </c>
      <c r="G16" t="inlineStr">
        <is>
          <t>0</t>
        </is>
      </c>
      <c r="H16" t="str">
        <f>F16*(1-G16)</f>
      </c>
    </row>
    <row r="17">
      <c r="A17" t="inlineStr">
        <is>
          <t>2024-03-18</t>
        </is>
      </c>
      <c r="B17" t="inlineStr">
        <is>
          <t>P001</t>
        </is>
      </c>
      <c r="C17" t="inlineStr">
        <is>
          <t>East</t>
        </is>
      </c>
      <c r="D17" t="inlineStr">
        <is>
          <t>2</t>
        </is>
      </c>
      <c r="E17" t="inlineStr">
        <is>
          <t>1200</t>
        </is>
      </c>
      <c r="F17" t="str">
        <f>D17*E17</f>
      </c>
      <c r="G17" t="inlineStr">
        <is>
          <t>0.1</t>
        </is>
      </c>
      <c r="H17" t="str">
        <f>F17*(1-G17)</f>
      </c>
    </row>
    <row r="18">
      <c r="A18" t="inlineStr">
        <is>
          <t>2024-03-28</t>
        </is>
      </c>
      <c r="B18" t="inlineStr">
        <is>
          <t>P002</t>
        </is>
      </c>
      <c r="C18" t="inlineStr">
        <is>
          <t>South</t>
        </is>
      </c>
      <c r="D18" t="inlineStr">
        <is>
          <t>4</t>
        </is>
      </c>
      <c r="E18" t="inlineStr">
        <is>
          <t>800</t>
        </is>
      </c>
      <c r="F18" t="str">
        <f>D18*E18</f>
      </c>
      <c r="G18" t="inlineStr">
        <is>
          <t>0.05</t>
        </is>
      </c>
      <c r="H18" t="str">
        <f>F18*(1-G18)</f>
      </c>
    </row>
    <row r="19">
      <c r="A19" t="inlineStr">
        <is>
          <t>2024-01-15</t>
        </is>
      </c>
      <c r="B19" t="inlineStr">
        <is>
          <t>P005</t>
        </is>
      </c>
      <c r="C19" t="inlineStr">
        <is>
          <t>West</t>
        </is>
      </c>
      <c r="D19" t="inlineStr">
        <is>
          <t>7</t>
        </is>
      </c>
      <c r="E19" t="inlineStr">
        <is>
          <t>150</t>
        </is>
      </c>
      <c r="F19" t="str">
        <f>D19*E19</f>
      </c>
      <c r="G19" t="inlineStr">
        <is>
          <t>0</t>
        </is>
      </c>
      <c r="H19" t="str">
        <f>F19*(1-G19)</f>
      </c>
    </row>
    <row r="20">
      <c r="A20" t="inlineStr">
        <is>
          <t>2024-02-05</t>
        </is>
      </c>
      <c r="B20" t="inlineStr">
        <is>
          <t>P007</t>
        </is>
      </c>
      <c r="C20" t="inlineStr">
        <is>
          <t>North</t>
        </is>
      </c>
      <c r="D20" t="inlineStr">
        <is>
          <t>1</t>
        </is>
      </c>
      <c r="E20" t="inlineStr">
        <is>
          <t>500</t>
        </is>
      </c>
      <c r="F20" t="str">
        <f>D20*E20</f>
      </c>
      <c r="G20" t="inlineStr">
        <is>
          <t>0.1</t>
        </is>
      </c>
      <c r="H20" t="str">
        <f>F20*(1-G20)</f>
      </c>
    </row>
    <row r="21">
      <c r="A21" t="inlineStr">
        <is>
          <t/>
        </is>
      </c>
    </row>
    <row r="22">
      <c r="A22" t="inlineStr">
        <is>
          <t>TOTAL_QTY</t>
        </is>
      </c>
      <c r="D22" t="str">
        <f>SUM(D2:D20)</f>
      </c>
    </row>
    <row r="23">
      <c r="A23" t="inlineStr">
        <is>
          <t>TOTAL_REVENUE</t>
        </is>
      </c>
      <c r="F23" t="str">
        <f>SUM(F2:F20)</f>
      </c>
    </row>
    <row r="24">
      <c r="A24" t="inlineStr">
        <is>
          <t>TOTAL_NET_REV</t>
        </is>
      </c>
      <c r="H24" t="str">
        <f>SUM(H2:H20)</f>
      </c>
    </row>
    <row r="25">
      <c r="A25" t="inlineStr">
        <is>
          <t>AVG_DISCOUNT</t>
        </is>
      </c>
      <c r="G25" t="str">
        <f>AVERAGE(G2:G20)</f>
      </c>
    </row>
    <row r="26">
      <c r="A26" t="inlineStr">
        <is>
          <t>NORTH_REVENUE</t>
        </is>
      </c>
      <c r="F26" t="str">
        <f>SUMIFS(F2:F20,C2:C20,"North")</f>
      </c>
    </row>
    <row r="27">
      <c r="A27" t="inlineStr">
        <is>
          <t>SOUTH_REVENUE</t>
        </is>
      </c>
      <c r="F27" t="str">
        <f>SUMIFS(F2:F20,C2:C20,"South")</f>
      </c>
    </row>
    <row r="28">
      <c r="A28" t="inlineStr">
        <is>
          <t>EAST_REVENUE</t>
        </is>
      </c>
      <c r="F28" t="str">
        <f>SUMIFS(F2:F20,C2:C20,"East")</f>
      </c>
    </row>
    <row r="29">
      <c r="A29" t="inlineStr">
        <is>
          <t>WEST_REVENUE</t>
        </is>
      </c>
      <c r="F29" t="str">
        <f>SUMIFS(F2:F20,C2:C20,"West")</f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5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Date</t>
        </is>
      </c>
      <c r="B1" t="inlineStr">
        <is>
          <t>Product_ID</t>
        </is>
      </c>
      <c r="C1" t="inlineStr">
        <is>
          <t>Region</t>
        </is>
      </c>
      <c r="D1" t="inlineStr">
        <is>
          <t>Qty</t>
        </is>
      </c>
      <c r="E1" t="inlineStr">
        <is>
          <t>Unit_Price</t>
        </is>
      </c>
      <c r="F1" t="inlineStr">
        <is>
          <t>Revenue</t>
        </is>
      </c>
      <c r="G1" t="inlineStr">
        <is>
          <t>Discount_Pct</t>
        </is>
      </c>
      <c r="H1" t="inlineStr">
        <is>
          <t>Net_Revenue</t>
        </is>
      </c>
    </row>
    <row r="2">
      <c r="A2" t="inlineStr">
        <is>
          <t>2024-04-02</t>
        </is>
      </c>
      <c r="B2" t="inlineStr">
        <is>
          <t>P001</t>
        </is>
      </c>
      <c r="C2" t="inlineStr">
        <is>
          <t>South</t>
        </is>
      </c>
      <c r="D2" t="inlineStr">
        <is>
          <t>2</t>
        </is>
      </c>
      <c r="E2" t="inlineStr">
        <is>
          <t>1200</t>
        </is>
      </c>
      <c r="F2" t="str">
        <f>D2*E2</f>
      </c>
      <c r="G2" t="inlineStr">
        <is>
          <t>0.05</t>
        </is>
      </c>
      <c r="H2" t="str">
        <f>F2*(1-G2)</f>
      </c>
    </row>
    <row r="3">
      <c r="A3" t="inlineStr">
        <is>
          <t>2024-04-15</t>
        </is>
      </c>
      <c r="B3" t="inlineStr">
        <is>
          <t>P003</t>
        </is>
      </c>
      <c r="C3" t="inlineStr">
        <is>
          <t>North</t>
        </is>
      </c>
      <c r="D3" t="inlineStr">
        <is>
          <t>4</t>
        </is>
      </c>
      <c r="E3" t="inlineStr">
        <is>
          <t>350</t>
        </is>
      </c>
      <c r="F3" t="str">
        <f>D3*E3</f>
      </c>
      <c r="G3" t="inlineStr">
        <is>
          <t>0</t>
        </is>
      </c>
      <c r="H3" t="str">
        <f>F3*(1-G3)</f>
      </c>
    </row>
    <row r="4">
      <c r="A4" t="inlineStr">
        <is>
          <t>2024-04-22</t>
        </is>
      </c>
      <c r="B4" t="inlineStr">
        <is>
          <t>P005</t>
        </is>
      </c>
      <c r="C4" t="inlineStr">
        <is>
          <t>East</t>
        </is>
      </c>
      <c r="D4" t="inlineStr">
        <is>
          <t>12</t>
        </is>
      </c>
      <c r="E4" t="inlineStr">
        <is>
          <t>150</t>
        </is>
      </c>
      <c r="F4" t="str">
        <f>D4*E4</f>
      </c>
      <c r="G4" t="inlineStr">
        <is>
          <t>0</t>
        </is>
      </c>
      <c r="H4" t="str">
        <f>F4*(1-G4)</f>
      </c>
    </row>
    <row r="5">
      <c r="A5" t="inlineStr">
        <is>
          <t>2024-05-01</t>
        </is>
      </c>
      <c r="B5" t="inlineStr">
        <is>
          <t>P002</t>
        </is>
      </c>
      <c r="C5" t="inlineStr">
        <is>
          <t>West</t>
        </is>
      </c>
      <c r="D5" t="inlineStr">
        <is>
          <t>3</t>
        </is>
      </c>
      <c r="E5" t="inlineStr">
        <is>
          <t>800</t>
        </is>
      </c>
      <c r="F5" t="str">
        <f>D5*E5</f>
      </c>
      <c r="G5" t="inlineStr">
        <is>
          <t>0.1</t>
        </is>
      </c>
      <c r="H5" t="str">
        <f>F5*(1-G5)</f>
      </c>
    </row>
    <row r="6">
      <c r="A6" t="inlineStr">
        <is>
          <t>2024-05-12</t>
        </is>
      </c>
      <c r="B6" t="inlineStr">
        <is>
          <t>P007</t>
        </is>
      </c>
      <c r="C6" t="inlineStr">
        <is>
          <t>North</t>
        </is>
      </c>
      <c r="D6" t="inlineStr">
        <is>
          <t>2</t>
        </is>
      </c>
      <c r="E6" t="inlineStr">
        <is>
          <t>500</t>
        </is>
      </c>
      <c r="F6" t="str">
        <f>D6*E6</f>
      </c>
      <c r="G6" t="inlineStr">
        <is>
          <t>0</t>
        </is>
      </c>
      <c r="H6" t="str">
        <f>F6*(1-G6)</f>
      </c>
    </row>
    <row r="7">
      <c r="A7" t="inlineStr">
        <is>
          <t>2024-05-25</t>
        </is>
      </c>
      <c r="B7" t="inlineStr">
        <is>
          <t>P001</t>
        </is>
      </c>
      <c r="C7" t="inlineStr">
        <is>
          <t>East</t>
        </is>
      </c>
      <c r="D7" t="inlineStr">
        <is>
          <t>5</t>
        </is>
      </c>
      <c r="E7" t="inlineStr">
        <is>
          <t>1200</t>
        </is>
      </c>
      <c r="F7" t="str">
        <f>D7*E7</f>
      </c>
      <c r="G7" t="inlineStr">
        <is>
          <t>0.05</t>
        </is>
      </c>
      <c r="H7" t="str">
        <f>F7*(1-G7)</f>
      </c>
    </row>
    <row r="8">
      <c r="A8" t="inlineStr">
        <is>
          <t>2024-06-03</t>
        </is>
      </c>
      <c r="B8" t="inlineStr">
        <is>
          <t>P006</t>
        </is>
      </c>
      <c r="C8" t="inlineStr">
        <is>
          <t>South</t>
        </is>
      </c>
      <c r="D8" t="inlineStr">
        <is>
          <t>25</t>
        </is>
      </c>
      <c r="E8" t="inlineStr">
        <is>
          <t>45</t>
        </is>
      </c>
      <c r="F8" t="str">
        <f>D8*E8</f>
      </c>
      <c r="G8" t="inlineStr">
        <is>
          <t>0</t>
        </is>
      </c>
      <c r="H8" t="str">
        <f>F8*(1-G8)</f>
      </c>
    </row>
    <row r="9">
      <c r="A9" t="inlineStr">
        <is>
          <t>2024-06-14</t>
        </is>
      </c>
      <c r="B9" t="inlineStr">
        <is>
          <t>P010</t>
        </is>
      </c>
      <c r="C9" t="inlineStr">
        <is>
          <t>North</t>
        </is>
      </c>
      <c r="D9" t="inlineStr">
        <is>
          <t>3</t>
        </is>
      </c>
      <c r="E9" t="inlineStr">
        <is>
          <t>450</t>
        </is>
      </c>
      <c r="F9" t="str">
        <f>D9*E9</f>
      </c>
      <c r="G9" t="inlineStr">
        <is>
          <t>0.1</t>
        </is>
      </c>
      <c r="H9" t="str">
        <f>F9*(1-G9)</f>
      </c>
    </row>
    <row r="10">
      <c r="A10" t="inlineStr">
        <is>
          <t>2024-06-20</t>
        </is>
      </c>
      <c r="B10" t="inlineStr">
        <is>
          <t>P002</t>
        </is>
      </c>
      <c r="C10" t="inlineStr">
        <is>
          <t>East</t>
        </is>
      </c>
      <c r="D10" t="inlineStr">
        <is>
          <t>7</t>
        </is>
      </c>
      <c r="E10" t="inlineStr">
        <is>
          <t>800</t>
        </is>
      </c>
      <c r="F10" t="str">
        <f>D10*E10</f>
      </c>
      <c r="G10" t="inlineStr">
        <is>
          <t>0</t>
        </is>
      </c>
      <c r="H10" t="str">
        <f>F10*(1-G10)</f>
      </c>
    </row>
    <row r="11">
      <c r="A11" t="inlineStr">
        <is>
          <t>2024-04-08</t>
        </is>
      </c>
      <c r="B11" t="inlineStr">
        <is>
          <t>P008</t>
        </is>
      </c>
      <c r="C11" t="inlineStr">
        <is>
          <t>West</t>
        </is>
      </c>
      <c r="D11" t="inlineStr">
        <is>
          <t>1</t>
        </is>
      </c>
      <c r="E11" t="inlineStr">
        <is>
          <t>180</t>
        </is>
      </c>
      <c r="F11" t="str">
        <f>D11*E11</f>
      </c>
      <c r="G11" t="inlineStr">
        <is>
          <t>0</t>
        </is>
      </c>
      <c r="H11" t="str">
        <f>F11*(1-G11)</f>
      </c>
    </row>
    <row r="12">
      <c r="A12" t="inlineStr">
        <is>
          <t>2024-04-20</t>
        </is>
      </c>
      <c r="B12" t="inlineStr">
        <is>
          <t>P009</t>
        </is>
      </c>
      <c r="C12" t="inlineStr">
        <is>
          <t>North</t>
        </is>
      </c>
      <c r="D12" t="inlineStr">
        <is>
          <t>6</t>
        </is>
      </c>
      <c r="E12" t="inlineStr">
        <is>
          <t>95</t>
        </is>
      </c>
      <c r="F12" t="str">
        <f>D12*E12</f>
      </c>
      <c r="G12" t="inlineStr">
        <is>
          <t>0</t>
        </is>
      </c>
      <c r="H12" t="str">
        <f>F12*(1-G12)</f>
      </c>
    </row>
    <row r="13">
      <c r="A13" t="inlineStr">
        <is>
          <t>2024-05-05</t>
        </is>
      </c>
      <c r="B13" t="inlineStr">
        <is>
          <t>P001</t>
        </is>
      </c>
      <c r="C13" t="inlineStr">
        <is>
          <t>South</t>
        </is>
      </c>
      <c r="D13" t="inlineStr">
        <is>
          <t>3</t>
        </is>
      </c>
      <c r="E13" t="inlineStr">
        <is>
          <t>1200</t>
        </is>
      </c>
      <c r="F13" t="str">
        <f>D13*E13</f>
      </c>
      <c r="G13" t="inlineStr">
        <is>
          <t>0.1</t>
        </is>
      </c>
      <c r="H13" t="str">
        <f>F13*(1-G13)</f>
      </c>
    </row>
    <row r="14">
      <c r="A14" t="inlineStr">
        <is>
          <t>2024-05-18</t>
        </is>
      </c>
      <c r="B14" t="inlineStr">
        <is>
          <t>P003</t>
        </is>
      </c>
      <c r="C14" t="inlineStr">
        <is>
          <t>East</t>
        </is>
      </c>
      <c r="D14" t="inlineStr">
        <is>
          <t>5</t>
        </is>
      </c>
      <c r="E14" t="inlineStr">
        <is>
          <t>350</t>
        </is>
      </c>
      <c r="F14" t="str">
        <f>D14*E14</f>
      </c>
      <c r="G14" t="inlineStr">
        <is>
          <t>0</t>
        </is>
      </c>
      <c r="H14" t="str">
        <f>F14*(1-G14)</f>
      </c>
    </row>
    <row r="15">
      <c r="A15" t="inlineStr">
        <is>
          <t>2024-06-01</t>
        </is>
      </c>
      <c r="B15" t="inlineStr">
        <is>
          <t>P005</t>
        </is>
      </c>
      <c r="C15" t="inlineStr">
        <is>
          <t>West</t>
        </is>
      </c>
      <c r="D15" t="inlineStr">
        <is>
          <t>9</t>
        </is>
      </c>
      <c r="E15" t="inlineStr">
        <is>
          <t>150</t>
        </is>
      </c>
      <c r="F15" t="str">
        <f>D15*E15</f>
      </c>
      <c r="G15" t="inlineStr">
        <is>
          <t>0.05</t>
        </is>
      </c>
      <c r="H15" t="str">
        <f>F15*(1-G15)</f>
      </c>
    </row>
    <row r="16">
      <c r="A16" t="inlineStr">
        <is>
          <t>2024-06-10</t>
        </is>
      </c>
      <c r="B16" t="inlineStr">
        <is>
          <t>P004</t>
        </is>
      </c>
      <c r="C16" t="inlineStr">
        <is>
          <t>North</t>
        </is>
      </c>
      <c r="D16" t="inlineStr">
        <is>
          <t>2</t>
        </is>
      </c>
      <c r="E16" t="inlineStr">
        <is>
          <t>275</t>
        </is>
      </c>
      <c r="F16" t="str">
        <f>D16*E16</f>
      </c>
      <c r="G16" t="inlineStr">
        <is>
          <t>0.15</t>
        </is>
      </c>
      <c r="H16" t="str">
        <f>F16*(1-G16)</f>
      </c>
    </row>
    <row r="17">
      <c r="A17" t="inlineStr">
        <is>
          <t/>
        </is>
      </c>
    </row>
    <row r="18">
      <c r="A18" t="inlineStr">
        <is>
          <t>TOTAL_QTY</t>
        </is>
      </c>
      <c r="D18" t="str">
        <f>SUM(D2:D16)</f>
      </c>
    </row>
    <row r="19">
      <c r="A19" t="inlineStr">
        <is>
          <t>TOTAL_REVENUE</t>
        </is>
      </c>
      <c r="F19" t="str">
        <f>SUM(F2:F16)</f>
      </c>
    </row>
    <row r="20">
      <c r="A20" t="inlineStr">
        <is>
          <t>TOTAL_NET_REV</t>
        </is>
      </c>
      <c r="H20" t="str">
        <f>SUM(H2:H16)</f>
      </c>
    </row>
    <row r="21">
      <c r="A21" t="inlineStr">
        <is>
          <t>AVG_DISCOUNT</t>
        </is>
      </c>
      <c r="G21" t="str">
        <f>AVERAGE(G2:G16)</f>
      </c>
    </row>
    <row r="22">
      <c r="A22" t="inlineStr">
        <is>
          <t>NORTH_REVENUE</t>
        </is>
      </c>
      <c r="F22" t="str">
        <f>SUMIFS(F2:F16,C2:C16,"North")</f>
      </c>
    </row>
    <row r="23">
      <c r="A23" t="inlineStr">
        <is>
          <t>SOUTH_REVENUE</t>
        </is>
      </c>
      <c r="F23" t="str">
        <f>SUMIFS(F2:F16,C2:C16,"South")</f>
      </c>
    </row>
    <row r="24">
      <c r="A24" t="inlineStr">
        <is>
          <t>EAST_REVENUE</t>
        </is>
      </c>
      <c r="F24" t="str">
        <f>SUMIFS(F2:F16,C2:C16,"East")</f>
      </c>
    </row>
    <row r="25">
      <c r="A25" t="inlineStr">
        <is>
          <t>WEST_REVENUE</t>
        </is>
      </c>
      <c r="F25" t="str">
        <f>SUMIFS(F2:F16,C2:C16,"West")</f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8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Metric</t>
        </is>
      </c>
      <c r="B1" t="inlineStr">
        <is>
          <t>Q1</t>
        </is>
      </c>
      <c r="C1" t="inlineStr">
        <is>
          <t>Q2</t>
        </is>
      </c>
      <c r="D1" t="inlineStr">
        <is>
          <t>Total / Change</t>
        </is>
      </c>
    </row>
    <row r="2">
      <c r="A2" t="inlineStr">
        <is>
          <t>Total Units Sold</t>
        </is>
      </c>
      <c r="B2" t="str">
        <f>'Q1 Sales'!D22</f>
      </c>
      <c r="C2" t="str">
        <f>'Q2 Sales'!D18</f>
      </c>
      <c r="D2" t="str">
        <f>B2+C2</f>
      </c>
    </row>
    <row r="3">
      <c r="A3" t="inlineStr">
        <is>
          <t>Total Revenue</t>
        </is>
      </c>
      <c r="B3" t="str">
        <f>'Q1 Sales'!F23</f>
      </c>
      <c r="C3" t="str">
        <f>'Q2 Sales'!F19</f>
      </c>
      <c r="D3" t="str">
        <f>B3+C3</f>
      </c>
    </row>
    <row r="4">
      <c r="A4" t="inlineStr">
        <is>
          <t>Total Net Revenue</t>
        </is>
      </c>
      <c r="B4" t="str">
        <f>'Q1 Sales'!H24</f>
      </c>
      <c r="C4" t="str">
        <f>'Q2 Sales'!H20</f>
      </c>
      <c r="D4" t="str">
        <f>B4+C4</f>
      </c>
    </row>
    <row r="5">
      <c r="A5" t="inlineStr">
        <is>
          <t>Average Discount</t>
        </is>
      </c>
      <c r="B5" t="str">
        <f>'Q1 Sales'!G25</f>
      </c>
      <c r="C5" t="str">
        <f>'Q2 Sales'!G21</f>
      </c>
      <c r="D5" t="str">
        <f>AVERAGE(B5,C5)</f>
      </c>
    </row>
    <row r="6">
      <c r="A6" t="inlineStr">
        <is>
          <t>Revenue Growth Q1-&gt;Q2</t>
        </is>
      </c>
      <c r="B6" t="inlineStr">
        <is>
          <t/>
        </is>
      </c>
      <c r="C6" t="inlineStr">
        <is>
          <t/>
        </is>
      </c>
      <c r="D6" t="str">
        <f>IFERROR((C3-B3)/B3,0)</f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</row>
    <row r="8">
      <c r="A8" t="inlineStr">
        <is>
          <t>Region</t>
        </is>
      </c>
      <c r="B8" t="inlineStr">
        <is>
          <t>Q1 Revenue</t>
        </is>
      </c>
      <c r="C8" t="inlineStr">
        <is>
          <t>Q2 Revenue</t>
        </is>
      </c>
      <c r="D8" t="inlineStr">
        <is>
          <t>Total</t>
        </is>
      </c>
    </row>
    <row r="9">
      <c r="A9" t="inlineStr">
        <is>
          <t>North</t>
        </is>
      </c>
      <c r="B9" t="str">
        <f>'Q1 Sales'!F26</f>
      </c>
      <c r="C9" t="str">
        <f>'Q2 Sales'!F22</f>
      </c>
      <c r="D9" t="str">
        <f>B9+C9</f>
      </c>
    </row>
    <row r="10">
      <c r="A10" t="inlineStr">
        <is>
          <t>South</t>
        </is>
      </c>
      <c r="B10" t="str">
        <f>'Q1 Sales'!F27</f>
      </c>
      <c r="C10" t="str">
        <f>'Q2 Sales'!F23</f>
      </c>
      <c r="D10" t="str">
        <f>B10+C10</f>
      </c>
    </row>
    <row r="11">
      <c r="A11" t="inlineStr">
        <is>
          <t>East</t>
        </is>
      </c>
      <c r="B11" t="str">
        <f>'Q1 Sales'!F28</f>
      </c>
      <c r="C11" t="str">
        <f>'Q2 Sales'!F24</f>
      </c>
      <c r="D11" t="str">
        <f>B11+C11</f>
      </c>
    </row>
    <row r="12">
      <c r="A12" t="inlineStr">
        <is>
          <t>West</t>
        </is>
      </c>
      <c r="B12" t="str">
        <f>'Q1 Sales'!F29</f>
      </c>
      <c r="C12" t="str">
        <f>'Q2 Sales'!F25</f>
      </c>
      <c r="D12" t="str">
        <f>B12+C12</f>
      </c>
    </row>
    <row r="13">
      <c r="A13" t="inlineStr">
        <is>
          <t>TOTAL</t>
        </is>
      </c>
      <c r="B13" t="str">
        <f>SUM(B9:B12)</f>
      </c>
      <c r="C13" t="str">
        <f>SUM(C9:C12)</f>
      </c>
      <c r="D13" t="str">
        <f>SUM(D9:D12)</f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</row>
    <row r="15">
      <c r="A15" t="inlineStr">
        <is>
          <t>Category Analysis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</row>
    <row r="16">
      <c r="A16" t="inlineStr">
        <is>
          <t>Avg Product Margin</t>
        </is>
      </c>
      <c r="B16" t="str">
        <f>'Products'!F13</f>
      </c>
      <c r="C16" t="inlineStr">
        <is>
          <t/>
        </is>
      </c>
      <c r="D16" t="inlineStr">
        <is>
          <t/>
        </is>
      </c>
    </row>
    <row r="17">
      <c r="A17" t="inlineStr">
        <is>
          <t>Active Products</t>
        </is>
      </c>
      <c r="B17" t="str">
        <f>'Products'!D17</f>
      </c>
      <c r="C17" t="inlineStr">
        <is>
          <t/>
        </is>
      </c>
      <c r="D17" t="inlineStr">
        <is>
          <t/>
        </is>
      </c>
    </row>
    <row r="18">
      <c r="A18" t="inlineStr">
        <is>
          <t>Revenue per Active Product</t>
        </is>
      </c>
      <c r="B18" t="str">
        <f>IF(B17&gt;0,D3/B17,0)</f>
      </c>
      <c r="C18" t="inlineStr">
        <is>
          <t/>
        </is>
      </c>
      <c r="D18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Category</t>
        </is>
      </c>
      <c r="B1" t="inlineStr">
        <is>
          <t>Product Count</t>
        </is>
      </c>
      <c r="C1" t="inlineStr">
        <is>
          <t>Total Q1 Revenue</t>
        </is>
      </c>
      <c r="D1" t="inlineStr">
        <is>
          <t>Total Q2 Revenue</t>
        </is>
      </c>
      <c r="E1" t="inlineStr">
        <is>
          <t>Combined Revenue</t>
        </is>
      </c>
    </row>
    <row r="2">
      <c r="A2" t="inlineStr">
        <is>
          <t>Electronics</t>
        </is>
      </c>
      <c r="B2" t="str">
        <f>COUNTIF(Products!B2:B11,"Electronics")</f>
      </c>
      <c r="C2" t="str">
        <f>SUMIFS('Q1 Sales'!F2:F20,'Q1 Sales'!B2:B20,"P001")+SUMIFS('Q1 Sales'!F2:F20,'Q1 Sales'!B2:B20,"P002")+SUMIFS('Q1 Sales'!F2:F20,'Q1 Sales'!B2:B20,"P007")+SUMIFS('Q1 Sales'!F2:F20,'Q1 Sales'!B2:B20,"P010")</f>
      </c>
      <c r="D2" t="str">
        <f>SUMIFS('Q2 Sales'!F2:F16,'Q2 Sales'!B2:B16,"P001")+SUMIFS('Q2 Sales'!F2:F16,'Q2 Sales'!B2:B16,"P002")+SUMIFS('Q2 Sales'!F2:F16,'Q2 Sales'!B2:B16,"P007")+SUMIFS('Q2 Sales'!F2:F16,'Q2 Sales'!B2:B16,"P010")</f>
      </c>
      <c r="E2" t="str">
        <f>C2+D2</f>
      </c>
    </row>
    <row r="3">
      <c r="A3" t="inlineStr">
        <is>
          <t>Furniture</t>
        </is>
      </c>
      <c r="B3" t="str">
        <f>COUNTIF(Products!B2:B11,"Furniture")</f>
      </c>
      <c r="C3" t="str">
        <f>SUMIFS('Q1 Sales'!F2:F20,'Q1 Sales'!B2:B20,"P003")+SUMIFS('Q1 Sales'!F2:F20,'Q1 Sales'!B2:B20,"P004")+SUMIFS('Q1 Sales'!F2:F20,'Q1 Sales'!B2:B20,"P008")</f>
      </c>
      <c r="D3" t="str">
        <f>SUMIFS('Q2 Sales'!F2:F16,'Q2 Sales'!B2:B16,"P003")+SUMIFS('Q2 Sales'!F2:F16,'Q2 Sales'!B2:B16,"P004")+SUMIFS('Q2 Sales'!F2:F16,'Q2 Sales'!B2:B16,"P008")</f>
      </c>
      <c r="E3" t="str">
        <f>C3+D3</f>
      </c>
    </row>
    <row r="4">
      <c r="A4" t="inlineStr">
        <is>
          <t>Clothing</t>
        </is>
      </c>
      <c r="B4" t="str">
        <f>COUNTIF(Products!B2:B11,"Clothing")</f>
      </c>
      <c r="C4" t="str">
        <f>SUMIFS('Q1 Sales'!F2:F20,'Q1 Sales'!B2:B20,"P005")+SUMIFS('Q1 Sales'!F2:F20,'Q1 Sales'!B2:B20,"P006")+SUMIFS('Q1 Sales'!F2:F20,'Q1 Sales'!B2:B20,"P009")</f>
      </c>
      <c r="D4" t="str">
        <f>SUMIFS('Q2 Sales'!F2:F16,'Q2 Sales'!B2:B16,"P005")+SUMIFS('Q2 Sales'!F2:F16,'Q2 Sales'!B2:B16,"P006")+SUMIFS('Q2 Sales'!F2:F16,'Q2 Sales'!B2:B16,"P009")</f>
      </c>
      <c r="E4" t="str">
        <f>C4+D4</f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Grand Total</t>
        </is>
      </c>
      <c r="B6" t="str">
        <f>SUM(B2:B4)</f>
      </c>
      <c r="C6" t="str">
        <f>SUM(C2:C4)</f>
      </c>
      <c r="D6" t="str">
        <f>SUM(D2:D4)</f>
      </c>
      <c r="E6" t="str">
        <f>C6+D6</f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Discount Impact</t>
        </is>
      </c>
      <c r="B8" t="inlineStr">
        <is>
          <t/>
        </is>
      </c>
      <c r="C8" t="inlineStr">
        <is>
          <t>Q1 Revenue</t>
        </is>
      </c>
      <c r="D8" t="inlineStr">
        <is>
          <t>Q2 Revenue</t>
        </is>
      </c>
      <c r="E8" t="inlineStr">
        <is>
          <t>Combined</t>
        </is>
      </c>
    </row>
    <row r="9">
      <c r="A9" t="inlineStr">
        <is>
          <t>With Discount</t>
        </is>
      </c>
      <c r="B9" t="inlineStr">
        <is>
          <t/>
        </is>
      </c>
      <c r="C9" t="str">
        <f>SUMIFS('Q1 Sales'!F2:F20,'Q1 Sales'!G2:G20,"&gt;0")</f>
      </c>
      <c r="D9" t="str">
        <f>SUMIFS('Q2 Sales'!F2:F16,'Q2 Sales'!G2:G16,"&gt;0")</f>
      </c>
      <c r="E9" t="str">
        <f>C9+D9</f>
      </c>
    </row>
    <row r="10">
      <c r="A10" t="inlineStr">
        <is>
          <t>Without Discount</t>
        </is>
      </c>
      <c r="B10" t="inlineStr">
        <is>
          <t/>
        </is>
      </c>
      <c r="C10" t="str">
        <f>SUMIFS('Q1 Sales'!F2:F20,'Q1 Sales'!G2:G20,"0")</f>
      </c>
      <c r="D10" t="str">
        <f>SUMIFS('Q2 Sales'!F2:F16,'Q2 Sales'!G2:G16,"0")</f>
      </c>
      <c r="E10" t="str">
        <f>C10+D10</f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Top Region by Q1 Revenue</t>
        </is>
      </c>
      <c r="B12" t="str">
        <f>IF('Annual Summary'!D9&gt;='Annual Summary'!D10,IF('Annual Summary'!D9&gt;='Annual Summary'!D11,IF('Annual Summary'!D9&gt;='Annual Summary'!D12,"North","West"),"East"),IF('Annual Summary'!D10&gt;='Annual Summary'!D11,IF('Annual Summary'!D10&gt;='Annual Summary'!D12,"South","West"),"East"))</f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emant</dc:creator>
  <dcterms:created xsi:type="dcterms:W3CDTF">2026-03-29T00:04:11Z</dcterms:created>
  <dcterms:modified xsi:type="dcterms:W3CDTF">2026-03-29T00:04:11Z</dcterms:modified>
  <cp:lastModifiedBy>emant</cp:lastModifiedBy>
</cp:coreProperties>
</file>